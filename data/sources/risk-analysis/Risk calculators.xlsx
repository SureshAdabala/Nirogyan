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othyroid" sheetId="1" r:id="rId5"/>
    <sheet state="visible" name="Diabetes" sheetId="2" r:id="rId6"/>
    <sheet state="visible" name="Heart " sheetId="3" r:id="rId7"/>
  </sheets>
  <definedNames/>
  <calcPr/>
</workbook>
</file>

<file path=xl/sharedStrings.xml><?xml version="1.0" encoding="utf-8"?>
<sst xmlns="http://schemas.openxmlformats.org/spreadsheetml/2006/main" count="241" uniqueCount="218">
  <si>
    <t>Risk factors</t>
  </si>
  <si>
    <t>Heart risk Calculator</t>
  </si>
  <si>
    <t xml:space="preserve">Points </t>
  </si>
  <si>
    <t xml:space="preserve">Total score </t>
  </si>
  <si>
    <t xml:space="preserve">Thyroid risk </t>
  </si>
  <si>
    <t>Age &gt;  35</t>
  </si>
  <si>
    <t>Diabetes Risk Calculator</t>
  </si>
  <si>
    <t>0-15</t>
  </si>
  <si>
    <t>Low</t>
  </si>
  <si>
    <t>Female</t>
  </si>
  <si>
    <t>16-35</t>
  </si>
  <si>
    <t>Medium</t>
  </si>
  <si>
    <t xml:space="preserve">Family history of thyroid </t>
  </si>
  <si>
    <t>&gt;35</t>
  </si>
  <si>
    <t xml:space="preserve">High </t>
  </si>
  <si>
    <t>Weight gain, fatigue, dry skin, hair loss</t>
  </si>
  <si>
    <t xml:space="preserve">Constipation or irregular periods </t>
  </si>
  <si>
    <t xml:space="preserve">History of autoimmune disease </t>
  </si>
  <si>
    <t>TSH (&gt;4.5)</t>
  </si>
  <si>
    <t>Reference for diabetes risk calculator</t>
  </si>
  <si>
    <t>Low free T4 or T3</t>
  </si>
  <si>
    <t xml:space="preserve">Thyroid antibodies positive </t>
  </si>
  <si>
    <t>References:</t>
  </si>
  <si>
    <t>📚 Evidence-Based Clinical Risk Factors</t>
  </si>
  <si>
    <t>The following sources and studies have identified common predictors and risk markers of hypothyroidism:</t>
  </si>
  <si>
    <t>Modified Cardiovascular Risk Engine that incorporates Atherogenic Dyslipidemia (Triglycerides &amp; Non-HDL) and handles Missing Data Imputation &amp; Penalty Logic.</t>
  </si>
  <si>
    <t>1. Indian Thyroid Society (ITS) Clinical Practice Guidelines</t>
  </si>
  <si>
    <t>Reference for heart risk calculator</t>
  </si>
  <si>
    <t>Points Table</t>
  </si>
  <si>
    <t>Reference: "Hypothyroidism in India: Guidelines for screening and management"</t>
  </si>
  <si>
    <t>Ranges</t>
  </si>
  <si>
    <t>Key insights:</t>
  </si>
  <si>
    <t>1. Modified framingham heart risk score (base 10 year risk)</t>
  </si>
  <si>
    <t>High prevalence in women, especially &gt;35 years</t>
  </si>
  <si>
    <t>Risk Factor</t>
  </si>
  <si>
    <t xml:space="preserve">CVD Risk </t>
  </si>
  <si>
    <t>Criteria</t>
  </si>
  <si>
    <t>Risk Score</t>
  </si>
  <si>
    <t>Example</t>
  </si>
  <si>
    <t>Missing logic</t>
  </si>
  <si>
    <t>Strong genetic predisposition (family history, autoimmune diseases)</t>
  </si>
  <si>
    <t>IDRS Range</t>
  </si>
  <si>
    <t>Risk Level</t>
  </si>
  <si>
    <t>Points</t>
  </si>
  <si>
    <t>Explanation</t>
  </si>
  <si>
    <t>Symptoms like weight gain, fatigue, menstrual irregularities are predictive</t>
  </si>
  <si>
    <t>Age, y</t>
  </si>
  <si>
    <t>HDL</t>
  </si>
  <si>
    <t>Total Cholesterol</t>
  </si>
  <si>
    <t>2. American Thyroid Association (ATA) Guidelines (2021)</t>
  </si>
  <si>
    <t>SBP Not Treated</t>
  </si>
  <si>
    <t>SBP Treated</t>
  </si>
  <si>
    <t xml:space="preserve">SBP Missing </t>
  </si>
  <si>
    <t>Age</t>
  </si>
  <si>
    <t>Smoker</t>
  </si>
  <si>
    <t>Diabetic</t>
  </si>
  <si>
    <t>≤35</t>
  </si>
  <si>
    <t xml:space="preserve">Triglycerides </t>
  </si>
  <si>
    <t>Recommends screening in:</t>
  </si>
  <si>
    <t>Risk, %</t>
  </si>
  <si>
    <t>Factors</t>
  </si>
  <si>
    <t>Women &gt;60 years</t>
  </si>
  <si>
    <t xml:space="preserve">Mandatory </t>
  </si>
  <si>
    <t>Value</t>
  </si>
  <si>
    <t>&lt;40</t>
  </si>
  <si>
    <t>Low Risk</t>
  </si>
  <si>
    <t>Individuals with family history, autoimmune diseases</t>
  </si>
  <si>
    <t>Individuals have a lower probability of diabetes.</t>
  </si>
  <si>
    <t>−3</t>
  </si>
  <si>
    <t>Those showing clinical signs/symptoms</t>
  </si>
  <si>
    <t>35-49</t>
  </si>
  <si>
    <t>3. NHANES (National Health and Nutrition Examination Survey, US)</t>
  </si>
  <si>
    <t>&lt;120</t>
  </si>
  <si>
    <t>40-70</t>
  </si>
  <si>
    <t>Moderate Risk</t>
  </si>
  <si>
    <t>Individuals have a moderate risk of developing diabetes and need close monitoring or glycemic index of 10</t>
  </si>
  <si>
    <t>≤−2</t>
  </si>
  <si>
    <t>50+</t>
  </si>
  <si>
    <t>Observational data on the correlation between TSH levels and symptoms</t>
  </si>
  <si>
    <t>&lt;1</t>
  </si>
  <si>
    <t>&gt;70</t>
  </si>
  <si>
    <t>High Risk</t>
  </si>
  <si>
    <t>Individuals are at a high risk of developing diabetes and require immediate intervention. or Glycemic index of 20</t>
  </si>
  <si>
    <t>Prevalence increases with age, female gender, and positive anti-TPO antibodies</t>
  </si>
  <si>
    <t>Waist circumference</t>
  </si>
  <si>
    <t>4. Indian Studies on Urban Prevalence</t>
  </si>
  <si>
    <t xml:space="preserve">Men </t>
  </si>
  <si>
    <t>&gt;90 cm</t>
  </si>
  <si>
    <t>10 in case of &gt; = 10 of Glycemic index</t>
  </si>
  <si>
    <t>Other Conversions</t>
  </si>
  <si>
    <t xml:space="preserve">Woman </t>
  </si>
  <si>
    <t>R. Unnikrishnan et al. (2011) - Indian Journal of Endocrinology and Metabolism</t>
  </si>
  <si>
    <t xml:space="preserve">&gt;80 cm </t>
  </si>
  <si>
    <t>−2</t>
  </si>
  <si>
    <t xml:space="preserve">Physical activity </t>
  </si>
  <si>
    <t>Glycemic Index</t>
  </si>
  <si>
    <t>60+</t>
  </si>
  <si>
    <t>1 in 10 adults in urban India has hypothyroidism</t>
  </si>
  <si>
    <t xml:space="preserve">Sedentary </t>
  </si>
  <si>
    <t>Note: Take only maximum of Hba1c, FBS, PP</t>
  </si>
  <si>
    <t>−1</t>
  </si>
  <si>
    <t xml:space="preserve">Moderate </t>
  </si>
  <si>
    <t>42 million Indians may be affected</t>
  </si>
  <si>
    <t>max(hba1c_score, fbs_score, PP Score)</t>
  </si>
  <si>
    <t>HDL(mg/dL)</t>
  </si>
  <si>
    <t>Regular</t>
  </si>
  <si>
    <t xml:space="preserve">Family history </t>
  </si>
  <si>
    <t>mmol/L to mg/dL: Divide by 0.0259</t>
  </si>
  <si>
    <t>None</t>
  </si>
  <si>
    <t>50–59</t>
  </si>
  <si>
    <t xml:space="preserve">One parent </t>
  </si>
  <si>
    <t>Total Cholesterol (mg/dL)</t>
  </si>
  <si>
    <t xml:space="preserve">Both </t>
  </si>
  <si>
    <t>1 mmol/L</t>
  </si>
  <si>
    <t>Hba1c</t>
  </si>
  <si>
    <t>&lt;5.7</t>
  </si>
  <si>
    <t>mg/dl</t>
  </si>
  <si>
    <t>5.7-6.4</t>
  </si>
  <si>
    <t>30–34</t>
  </si>
  <si>
    <t>45–49</t>
  </si>
  <si>
    <t>&lt;160</t>
  </si>
  <si>
    <t>120–129</t>
  </si>
  <si>
    <t>&gt;6.5</t>
  </si>
  <si>
    <t>No</t>
  </si>
  <si>
    <t>Normal HbA1c and Fasting glucose</t>
  </si>
  <si>
    <t>&lt;150</t>
  </si>
  <si>
    <t>PP Sugar</t>
  </si>
  <si>
    <t>SBP Not Treated (mm Hg)</t>
  </si>
  <si>
    <t xml:space="preserve">Normal </t>
  </si>
  <si>
    <t>35–44</t>
  </si>
  <si>
    <t>160–199</t>
  </si>
  <si>
    <t>130–139</t>
  </si>
  <si>
    <t>Age 40-50</t>
  </si>
  <si>
    <t xml:space="preserve">Borderline Hba1c or fasting glucose </t>
  </si>
  <si>
    <t>151-200</t>
  </si>
  <si>
    <t>SBP Treated (mm Hg)</t>
  </si>
  <si>
    <t xml:space="preserve">Borderline </t>
  </si>
  <si>
    <t xml:space="preserve"> </t>
  </si>
  <si>
    <t>35–39</t>
  </si>
  <si>
    <t>&lt;35</t>
  </si>
  <si>
    <t>140–149</t>
  </si>
  <si>
    <t>Age 50+</t>
  </si>
  <si>
    <t>201-500</t>
  </si>
  <si>
    <t>Yes</t>
  </si>
  <si>
    <t>200–239</t>
  </si>
  <si>
    <t xml:space="preserve">Fasting blood sugar </t>
  </si>
  <si>
    <t>&lt;100</t>
  </si>
  <si>
    <t>100-125</t>
  </si>
  <si>
    <t>&gt;126</t>
  </si>
  <si>
    <t>40–44</t>
  </si>
  <si>
    <t>240–279</t>
  </si>
  <si>
    <t>150–159</t>
  </si>
  <si>
    <t xml:space="preserve">High Hba1c or fasting glucose </t>
  </si>
  <si>
    <t>&gt;500</t>
  </si>
  <si>
    <t>Total Points</t>
  </si>
  <si>
    <t>280+</t>
  </si>
  <si>
    <t>160+</t>
  </si>
  <si>
    <t>Risk</t>
  </si>
  <si>
    <t>50–54</t>
  </si>
  <si>
    <t>Range</t>
  </si>
  <si>
    <t>Messaging</t>
  </si>
  <si>
    <t>55–59</t>
  </si>
  <si>
    <t>High risk</t>
  </si>
  <si>
    <t>&gt;20</t>
  </si>
  <si>
    <t>"Your current heart health markers suggest an area that needs attention. Taking proactive steps now—such as tweaking your diet, staying active, and consulting with your doctor—can significantly lower your long-term cardiovascular risk and protect your heart."</t>
  </si>
  <si>
    <t>60–64</t>
  </si>
  <si>
    <t>Intermediate</t>
  </si>
  <si>
    <t>10-19%</t>
  </si>
  <si>
    <t>"Your 10-year cardiovascular score is slightly elevated compared to optimal ranges. The good news is that these risk factors are highly manageable through early lifestyle adjustments and medical guidance."</t>
  </si>
  <si>
    <t>65–69</t>
  </si>
  <si>
    <t>&lt;10%</t>
  </si>
  <si>
    <t>"Your immediate likelihood of a heart event over the next 10 years is extremely low."</t>
  </si>
  <si>
    <t>70–74</t>
  </si>
  <si>
    <t>75+</t>
  </si>
  <si>
    <t xml:space="preserve">2. Age multipier </t>
  </si>
  <si>
    <t>Lipid severity factor (S Lipid) = 0.6 *(LDL/100) + 0.4 *(Total chol/160)</t>
  </si>
  <si>
    <t>Young age multiplier (M Young) = 2.5 if age &lt;30, 1.8 if age 30-39, 1 if age is &gt;=40</t>
  </si>
  <si>
    <t>Adjusted heart risk % = Base 10 year risk * S lipid *M young</t>
  </si>
  <si>
    <t>3. Isolated High-Cholesterol "Floor Penalty" Rule</t>
  </si>
  <si>
    <t>When only Total Cholesterol / LDL are high and no other lifestyle or lab parameters are flagged, set a Minimum Domain Risk Floor:</t>
  </si>
  <si>
    <t>21+</t>
  </si>
  <si>
    <t>&gt;30</t>
  </si>
  <si>
    <t>LDL Value</t>
  </si>
  <si>
    <t>Risk Tier</t>
  </si>
  <si>
    <t>Domain Penalty Floor</t>
  </si>
  <si>
    <t>UX Classification</t>
  </si>
  <si>
    <t>Patient Messaging</t>
  </si>
  <si>
    <t>130 mg/dL</t>
  </si>
  <si>
    <t>Optimal / Normal</t>
  </si>
  <si>
    <t>Normal</t>
  </si>
  <si>
    <t>"Your lipid levels are within optimal range."</t>
  </si>
  <si>
    <t>130 - 159 mg/dL</t>
  </si>
  <si>
    <t>Mild Elevation</t>
  </si>
  <si>
    <t>12% - 15%</t>
  </si>
  <si>
    <t>Mild Attention</t>
  </si>
  <si>
    <t>"Slightly elevated. Responsive to diet and exercise."</t>
  </si>
  <si>
    <t>160 - 189 mg/dL</t>
  </si>
  <si>
    <t>Suboptimal</t>
  </si>
  <si>
    <t>"Elevated LDL. Early lifestyle focus prevents future risk."</t>
  </si>
  <si>
    <t>&gt;190  mg/dL</t>
  </si>
  <si>
    <t>High Priority</t>
  </si>
  <si>
    <t>Action Needed</t>
  </si>
  <si>
    <t>"Significant elevation. Requires clinical evaluation."</t>
  </si>
  <si>
    <t>Show both patient messaging in case of floor penalty rule</t>
  </si>
  <si>
    <t>Final heart risk score = Max ( Adjusted heart risk, floor penalty)</t>
  </si>
  <si>
    <t>Medical references:</t>
  </si>
  <si>
    <t>Feature Implemented</t>
  </si>
  <si>
    <t>Primary Medical Reference</t>
  </si>
  <si>
    <t>Clinical Rationale</t>
  </si>
  <si>
    <t>Young-Age Multiplier ($M_{\text{young}}$)</t>
  </si>
  <si>
    <t>Braunwald’s Heart Disease (Ch. 47) &amp; 2018 AHA/ACC Guidelines</t>
  </si>
  <si>
    <t>Corrects for age bias by accounting for cumulative lifelong vascular exposure.</t>
  </si>
  <si>
    <t>Vascular Age Calculation</t>
  </si>
  <si>
    <t>2021 ESC Guidelines &amp; D’Agostino et al. (Circulation, 2008)</t>
  </si>
  <si>
    <t>Converts low absolute 10-year risk into an intuitive metric for patient communication.</t>
  </si>
  <si>
    <t>Minimum Floor Penalty (LDL $\ge 160$)</t>
  </si>
  <si>
    <t>Harrison’s Principles of Internal Medicine (Ch. 400)</t>
  </si>
  <si>
    <t>Ensures isolated high-risk lab values are flagged regardless of young age or missing lifestyle variables.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</si>
</sst>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22.0"/>
      <color theme="1"/>
      <name val="Calibri"/>
    </font>
    <font/>
    <font>
      <b/>
      <sz val="20.0"/>
      <color theme="1"/>
      <name val="Calibri"/>
    </font>
    <font>
      <u/>
      <sz val="20.0"/>
      <color rgb="FF0563C1"/>
      <name val="Calibri"/>
    </font>
    <font>
      <sz val="11.0"/>
      <color theme="1"/>
      <name val="Arial"/>
      <scheme val="minor"/>
    </font>
    <font>
      <u/>
      <sz val="20.0"/>
      <color rgb="FF0563C1"/>
      <name val="Calibri"/>
    </font>
    <font>
      <b/>
      <color theme="1"/>
      <name val="Arial"/>
      <scheme val="minor"/>
    </font>
    <font>
      <u/>
      <sz val="22.0"/>
      <color rgb="FF0563C1"/>
      <name val="Calibri"/>
    </font>
    <font>
      <sz val="20.0"/>
      <color theme="1"/>
      <name val="Calibri"/>
    </font>
    <font>
      <b/>
      <sz val="11.0"/>
      <color theme="1"/>
      <name val="Calibri"/>
    </font>
    <font>
      <b/>
      <sz val="11.0"/>
      <color rgb="FF383330"/>
      <name val="Arial"/>
    </font>
    <font>
      <sz val="11.0"/>
      <color rgb="FF383330"/>
      <name val="Arial"/>
    </font>
    <font>
      <color theme="1"/>
      <name val="&quot;Google Sans Text&quot;"/>
    </font>
    <font>
      <b/>
      <color theme="1"/>
      <name val="&quot;Google Sans Text&quot;"/>
    </font>
    <font>
      <i/>
      <sz val="11.0"/>
      <color theme="1"/>
      <name val="Calibri"/>
    </font>
    <font>
      <sz val="10.0"/>
      <color theme="1"/>
      <name val="&quot;Google Sans&quot;"/>
    </font>
    <font>
      <sz val="10.0"/>
      <color theme="1"/>
      <name val="Calibri"/>
    </font>
    <font>
      <b/>
      <sz val="10.0"/>
      <color theme="1"/>
      <name val="&quot;Google Sans Text&quot;"/>
    </font>
    <font>
      <sz val="10.0"/>
      <color theme="1"/>
      <name val="&quot;Google Sans Text&quot;"/>
    </font>
    <font>
      <i/>
      <sz val="10.0"/>
      <color theme="1"/>
      <name val="&quot;Google Sans Text&quot;"/>
    </font>
  </fonts>
  <fills count="11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ADB9CA"/>
        <bgColor rgb="FFADB9CA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DEE2E6"/>
      </bottom>
    </border>
    <border>
      <left/>
      <top style="thin">
        <color rgb="FF000000"/>
      </top>
      <bottom style="medium">
        <color rgb="FFDEE2E6"/>
      </bottom>
    </border>
    <border>
      <left style="medium">
        <color rgb="FF000000"/>
      </left>
      <right style="thin">
        <color rgb="FF000000"/>
      </right>
      <top/>
      <bottom style="medium">
        <color rgb="FFDEE2E6"/>
      </bottom>
    </border>
    <border>
      <left/>
      <right style="medium">
        <color rgb="FF000000"/>
      </right>
      <top/>
      <bottom style="medium">
        <color rgb="FFDEE2E6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medium">
        <color rgb="FFDEE2E6"/>
      </top>
      <bottom style="medium">
        <color rgb="FFDEE2E6"/>
      </bottom>
    </border>
    <border>
      <left/>
      <top style="medium">
        <color rgb="FFDEE2E6"/>
      </top>
      <bottom style="medium">
        <color rgb="FFDEE2E6"/>
      </bottom>
    </border>
    <border>
      <left/>
      <right style="medium">
        <color rgb="FF000000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DEE2E6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DEE2E6"/>
      </top>
      <bottom style="medium">
        <color rgb="FF000000"/>
      </bottom>
    </border>
    <border>
      <left/>
      <top style="medium">
        <color rgb="FFDEE2E6"/>
      </top>
      <bottom style="medium">
        <color rgb="FF000000"/>
      </bottom>
    </border>
    <border>
      <left/>
      <right style="medium">
        <color rgb="FF000000"/>
      </right>
      <top style="medium">
        <color rgb="FFDEE2E6"/>
      </top>
      <bottom style="medium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2" fillId="3" fontId="5" numFmtId="0" xfId="0" applyAlignment="1" applyBorder="1" applyFill="1" applyFont="1">
      <alignment horizontal="center" vertical="bottom"/>
    </xf>
    <xf borderId="1" fillId="0" fontId="1" numFmtId="0" xfId="0" applyBorder="1" applyFont="1"/>
    <xf borderId="4" fillId="0" fontId="4" numFmtId="0" xfId="0" applyBorder="1" applyFont="1"/>
    <xf borderId="0" fillId="4" fontId="6" numFmtId="0" xfId="0" applyAlignment="1" applyFill="1" applyFont="1">
      <alignment horizontal="center" vertical="bottom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2" fillId="4" fontId="8" numFmtId="0" xfId="0" applyAlignment="1" applyBorder="1" applyFont="1">
      <alignment horizontal="center" vertical="bottom"/>
    </xf>
    <xf borderId="0" fillId="0" fontId="9" numFmtId="0" xfId="0" applyAlignment="1" applyFont="1">
      <alignment readingOrder="0"/>
    </xf>
    <xf borderId="2" fillId="5" fontId="5" numFmtId="0" xfId="0" applyAlignment="1" applyBorder="1" applyFill="1" applyFont="1">
      <alignment horizontal="center" vertical="bottom"/>
    </xf>
    <xf borderId="0" fillId="5" fontId="5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11" numFmtId="0" xfId="0" applyAlignment="1" applyFont="1">
      <alignment readingOrder="0" vertical="top"/>
    </xf>
    <xf borderId="1" fillId="4" fontId="12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0" fillId="4" fontId="12" numFmtId="0" xfId="0" applyAlignment="1" applyFont="1">
      <alignment horizontal="center" shrinkToFit="0" wrapText="1"/>
    </xf>
    <xf borderId="11" fillId="4" fontId="12" numFmtId="0" xfId="0" applyAlignment="1" applyBorder="1" applyFont="1">
      <alignment horizontal="center" shrinkToFit="0" wrapText="1"/>
    </xf>
    <xf borderId="12" fillId="4" fontId="12" numFmtId="0" xfId="0" applyAlignment="1" applyBorder="1" applyFont="1">
      <alignment horizontal="center" shrinkToFit="0" wrapText="1"/>
    </xf>
    <xf borderId="13" fillId="4" fontId="13" numFmtId="0" xfId="0" applyAlignment="1" applyBorder="1" applyFont="1">
      <alignment shrinkToFit="0" vertical="bottom" wrapText="1"/>
    </xf>
    <xf borderId="14" fillId="4" fontId="12" numFmtId="0" xfId="0" applyAlignment="1" applyBorder="1" applyFont="1">
      <alignment horizontal="center" shrinkToFit="0" wrapText="1"/>
    </xf>
    <xf borderId="15" fillId="4" fontId="13" numFmtId="0" xfId="0" applyAlignment="1" applyBorder="1" applyFont="1">
      <alignment horizontal="center" shrinkToFit="0" vertical="bottom" wrapText="1"/>
    </xf>
    <xf borderId="1" fillId="6" fontId="12" numFmtId="0" xfId="0" applyAlignment="1" applyBorder="1" applyFill="1" applyFont="1">
      <alignment shrinkToFit="0" wrapText="1"/>
    </xf>
    <xf borderId="15" fillId="4" fontId="13" numFmtId="0" xfId="0" applyAlignment="1" applyBorder="1" applyFont="1">
      <alignment horizontal="center" readingOrder="0" shrinkToFit="0" vertical="bottom" wrapText="1"/>
    </xf>
    <xf borderId="16" fillId="4" fontId="1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wrapText="1"/>
    </xf>
    <xf borderId="17" fillId="4" fontId="13" numFmtId="0" xfId="0" applyAlignment="1" applyBorder="1" applyFont="1">
      <alignment shrinkToFit="0" vertical="bottom" wrapText="1"/>
    </xf>
    <xf borderId="18" fillId="4" fontId="1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right" shrinkToFit="0" wrapText="1"/>
    </xf>
    <xf borderId="17" fillId="4" fontId="12" numFmtId="0" xfId="0" applyAlignment="1" applyBorder="1" applyFont="1">
      <alignment vertical="bottom"/>
    </xf>
    <xf borderId="0" fillId="0" fontId="12" numFmtId="0" xfId="0" applyAlignment="1" applyFont="1">
      <alignment shrinkToFit="0" wrapText="1"/>
    </xf>
    <xf borderId="19" fillId="4" fontId="12" numFmtId="0" xfId="0" applyAlignment="1" applyBorder="1" applyFont="1">
      <alignment vertical="bottom"/>
    </xf>
    <xf borderId="20" fillId="0" fontId="12" numFmtId="0" xfId="0" applyAlignment="1" applyBorder="1" applyFont="1">
      <alignment shrinkToFit="0" wrapText="1"/>
    </xf>
    <xf borderId="18" fillId="4" fontId="12" numFmtId="0" xfId="0" applyAlignment="1" applyBorder="1" applyFont="1">
      <alignment vertical="bottom"/>
    </xf>
    <xf borderId="21" fillId="0" fontId="12" numFmtId="0" xfId="0" applyAlignment="1" applyBorder="1" applyFont="1">
      <alignment shrinkToFit="0" wrapText="1"/>
    </xf>
    <xf borderId="22" fillId="0" fontId="2" numFmtId="0" xfId="0" applyAlignment="1" applyBorder="1" applyFont="1">
      <alignment shrinkToFit="0" wrapText="1"/>
    </xf>
    <xf borderId="23" fillId="7" fontId="14" numFmtId="0" xfId="0" applyAlignment="1" applyBorder="1" applyFill="1" applyFont="1">
      <alignment horizontal="center" shrinkToFit="0" vertical="top" wrapText="1"/>
    </xf>
    <xf borderId="1" fillId="0" fontId="2" numFmtId="0" xfId="0" applyBorder="1" applyFont="1"/>
    <xf borderId="24" fillId="7" fontId="2" numFmtId="0" xfId="0" applyAlignment="1" applyBorder="1" applyFont="1">
      <alignment vertical="top"/>
    </xf>
    <xf borderId="1" fillId="0" fontId="2" numFmtId="0" xfId="0" applyAlignment="1" applyBorder="1" applyFont="1">
      <alignment vertical="bottom"/>
    </xf>
    <xf borderId="24" fillId="7" fontId="14" numFmtId="0" xfId="0" applyAlignment="1" applyBorder="1" applyFont="1">
      <alignment horizontal="center" shrinkToFit="0" vertical="top" wrapText="1"/>
    </xf>
    <xf borderId="22" fillId="0" fontId="2" numFmtId="0" xfId="0" applyAlignment="1" applyBorder="1" applyFont="1">
      <alignment readingOrder="0" shrinkToFit="0" wrapText="1"/>
    </xf>
    <xf borderId="25" fillId="7" fontId="2" numFmtId="0" xfId="0" applyAlignment="1" applyBorder="1" applyFont="1">
      <alignment vertical="top"/>
    </xf>
    <xf borderId="26" fillId="7" fontId="14" numFmtId="0" xfId="0" applyAlignment="1" applyBorder="1" applyFont="1">
      <alignment horizontal="center" shrinkToFit="0" vertical="top" wrapText="1"/>
    </xf>
    <xf borderId="0" fillId="6" fontId="12" numFmtId="0" xfId="0" applyAlignment="1" applyFont="1">
      <alignment shrinkToFit="0" wrapText="1"/>
    </xf>
    <xf borderId="27" fillId="7" fontId="14" numFmtId="0" xfId="0" applyAlignment="1" applyBorder="1" applyFont="1">
      <alignment horizontal="center" shrinkToFit="0" vertical="top" wrapText="1"/>
    </xf>
    <xf borderId="28" fillId="6" fontId="12" numFmtId="0" xfId="0" applyAlignment="1" applyBorder="1" applyFont="1">
      <alignment shrinkToFit="0" wrapText="1"/>
    </xf>
    <xf borderId="20" fillId="0" fontId="2" numFmtId="0" xfId="0" applyAlignment="1" applyBorder="1" applyFont="1">
      <alignment vertical="bottom"/>
    </xf>
    <xf borderId="29" fillId="6" fontId="12" numFmtId="0" xfId="0" applyAlignment="1" applyBorder="1" applyFont="1">
      <alignment shrinkToFit="0" wrapText="1"/>
    </xf>
    <xf borderId="21" fillId="0" fontId="2" numFmtId="0" xfId="0" applyAlignment="1" applyBorder="1" applyFont="1">
      <alignment horizontal="right" vertical="bottom"/>
    </xf>
    <xf borderId="30" fillId="6" fontId="2" numFmtId="0" xfId="0" applyAlignment="1" applyBorder="1" applyFont="1">
      <alignment readingOrder="0" shrinkToFit="0" wrapText="1"/>
    </xf>
    <xf borderId="22" fillId="0" fontId="2" numFmtId="0" xfId="0" applyAlignment="1" applyBorder="1" applyFont="1">
      <alignment horizontal="right" vertical="bottom"/>
    </xf>
    <xf borderId="1" fillId="8" fontId="2" numFmtId="0" xfId="0" applyAlignment="1" applyBorder="1" applyFill="1" applyFont="1">
      <alignment vertical="bottom"/>
    </xf>
    <xf borderId="31" fillId="7" fontId="14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readingOrder="0" vertical="bottom"/>
    </xf>
    <xf borderId="32" fillId="7" fontId="2" numFmtId="0" xfId="0" applyAlignment="1" applyBorder="1" applyFont="1">
      <alignment vertical="top"/>
    </xf>
    <xf borderId="32" fillId="7" fontId="14" numFmtId="0" xfId="0" applyAlignment="1" applyBorder="1" applyFont="1">
      <alignment horizontal="center" shrinkToFit="0" vertical="top" wrapText="1"/>
    </xf>
    <xf borderId="33" fillId="7" fontId="2" numFmtId="0" xfId="0" applyAlignment="1" applyBorder="1" applyFont="1">
      <alignment vertical="top"/>
    </xf>
    <xf borderId="34" fillId="7" fontId="14" numFmtId="0" xfId="0" applyAlignment="1" applyBorder="1" applyFont="1">
      <alignment horizontal="center" shrinkToFit="0" vertical="top" wrapText="1"/>
    </xf>
    <xf borderId="35" fillId="0" fontId="2" numFmtId="0" xfId="0" applyAlignment="1" applyBorder="1" applyFont="1">
      <alignment vertical="bottom"/>
    </xf>
    <xf borderId="36" fillId="0" fontId="2" numFmtId="0" xfId="0" applyAlignment="1" applyBorder="1" applyFont="1">
      <alignment horizontal="right" vertical="bottom"/>
    </xf>
    <xf borderId="36" fillId="0" fontId="2" numFmtId="0" xfId="0" applyAlignment="1" applyBorder="1" applyFont="1">
      <alignment vertical="bottom"/>
    </xf>
    <xf borderId="32" fillId="7" fontId="14" numFmtId="0" xfId="0" applyAlignment="1" applyBorder="1" applyFont="1">
      <alignment horizontal="center" readingOrder="0" shrinkToFit="0" vertical="top" wrapText="1"/>
    </xf>
    <xf borderId="33" fillId="7" fontId="14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right" readingOrder="0" shrinkToFit="0" wrapText="1"/>
    </xf>
    <xf borderId="32" fillId="7" fontId="2" numFmtId="0" xfId="0" applyAlignment="1" applyBorder="1" applyFont="1">
      <alignment readingOrder="0" vertical="top"/>
    </xf>
    <xf borderId="33" fillId="7" fontId="2" numFmtId="0" xfId="0" applyAlignment="1" applyBorder="1" applyFont="1">
      <alignment readingOrder="0" vertical="top"/>
    </xf>
    <xf borderId="21" fillId="0" fontId="2" numFmtId="0" xfId="0" applyAlignment="1" applyBorder="1" applyFont="1">
      <alignment vertical="bottom"/>
    </xf>
    <xf borderId="22" fillId="0" fontId="2" numFmtId="0" xfId="0" applyAlignment="1" applyBorder="1" applyFont="1">
      <alignment vertical="bottom"/>
    </xf>
    <xf borderId="37" fillId="0" fontId="2" numFmtId="0" xfId="0" applyAlignment="1" applyBorder="1" applyFont="1">
      <alignment vertical="bottom"/>
    </xf>
    <xf borderId="38" fillId="0" fontId="2" numFmtId="0" xfId="0" applyAlignment="1" applyBorder="1" applyFont="1">
      <alignment horizontal="right" vertical="bottom"/>
    </xf>
    <xf borderId="39" fillId="0" fontId="2" numFmtId="0" xfId="0" applyAlignment="1" applyBorder="1" applyFont="1">
      <alignment horizontal="right" vertical="bottom"/>
    </xf>
    <xf borderId="0" fillId="0" fontId="2" numFmtId="0" xfId="0" applyFont="1"/>
    <xf borderId="19" fillId="9" fontId="2" numFmtId="0" xfId="0" applyAlignment="1" applyBorder="1" applyFill="1" applyFont="1">
      <alignment vertical="bottom"/>
    </xf>
    <xf borderId="40" fillId="9" fontId="2" numFmtId="0" xfId="0" applyAlignment="1" applyBorder="1" applyFont="1">
      <alignment horizontal="right" vertical="bottom"/>
    </xf>
    <xf borderId="41" fillId="10" fontId="2" numFmtId="0" xfId="0" applyAlignment="1" applyBorder="1" applyFill="1" applyFont="1">
      <alignment vertical="bottom"/>
    </xf>
    <xf borderId="42" fillId="10" fontId="2" numFmtId="9" xfId="0" applyAlignment="1" applyBorder="1" applyFont="1" applyNumberFormat="1">
      <alignment horizontal="right"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46" fillId="10" fontId="2" numFmtId="0" xfId="0" applyAlignment="1" applyBorder="1" applyFont="1">
      <alignment vertical="bottom"/>
    </xf>
    <xf borderId="47" fillId="10" fontId="2" numFmtId="0" xfId="0" applyAlignment="1" applyBorder="1" applyFont="1">
      <alignment vertical="bottom"/>
    </xf>
    <xf borderId="39" fillId="0" fontId="2" numFmtId="0" xfId="0" applyAlignment="1" applyBorder="1" applyFont="1">
      <alignment vertical="bottom"/>
    </xf>
    <xf borderId="48" fillId="7" fontId="14" numFmtId="0" xfId="0" applyAlignment="1" applyBorder="1" applyFont="1">
      <alignment horizontal="center" shrinkToFit="0" vertical="top" wrapText="1"/>
    </xf>
    <xf borderId="49" fillId="7" fontId="14" numFmtId="0" xfId="0" applyAlignment="1" applyBorder="1" applyFont="1">
      <alignment horizontal="center" shrinkToFit="0" vertical="top" wrapText="1"/>
    </xf>
    <xf borderId="49" fillId="7" fontId="2" numFmtId="0" xfId="0" applyAlignment="1" applyBorder="1" applyFont="1">
      <alignment vertical="top"/>
    </xf>
    <xf borderId="50" fillId="7" fontId="2" numFmtId="0" xfId="0" applyAlignment="1" applyBorder="1" applyFont="1">
      <alignment vertical="top"/>
    </xf>
    <xf borderId="1" fillId="7" fontId="2" numFmtId="0" xfId="0" applyAlignment="1" applyBorder="1" applyFont="1">
      <alignment vertical="bottom"/>
    </xf>
    <xf borderId="31" fillId="10" fontId="14" numFmtId="0" xfId="0" applyAlignment="1" applyBorder="1" applyFont="1">
      <alignment horizontal="center" shrinkToFit="0" vertical="top" wrapText="1"/>
    </xf>
    <xf borderId="34" fillId="10" fontId="14" numFmtId="0" xfId="0" applyAlignment="1" applyBorder="1" applyFont="1">
      <alignment horizontal="center" shrinkToFit="0" vertical="top" wrapText="1"/>
    </xf>
    <xf borderId="51" fillId="7" fontId="14" numFmtId="0" xfId="0" applyAlignment="1" applyBorder="1" applyFont="1">
      <alignment horizontal="center" shrinkToFit="0" vertical="top" wrapText="1"/>
    </xf>
    <xf borderId="1" fillId="0" fontId="15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1" fillId="0" fontId="16" numFmtId="9" xfId="0" applyAlignment="1" applyBorder="1" applyFont="1" applyNumberFormat="1">
      <alignment readingOrder="0"/>
    </xf>
    <xf borderId="0" fillId="0" fontId="16" numFmtId="0" xfId="0" applyAlignment="1" applyFont="1">
      <alignment readingOrder="0"/>
    </xf>
    <xf borderId="0" fillId="0" fontId="2" numFmtId="9" xfId="0" applyAlignment="1" applyFont="1" applyNumberFormat="1">
      <alignment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0" fontId="19" numFmtId="0" xfId="0" applyAlignment="1" applyFont="1">
      <alignment vertical="bottom"/>
    </xf>
    <xf borderId="52" fillId="0" fontId="20" numFmtId="0" xfId="0" applyAlignment="1" applyBorder="1" applyFont="1">
      <alignment readingOrder="0"/>
    </xf>
    <xf borderId="52" fillId="0" fontId="21" numFmtId="0" xfId="0" applyAlignment="1" applyBorder="1" applyFont="1">
      <alignment readingOrder="0"/>
    </xf>
    <xf borderId="52" fillId="0" fontId="2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1825242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61/CIRCULATIONAHA.107.699579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2">
      <c r="A2" s="1" t="s">
        <v>0</v>
      </c>
      <c r="B2" s="1" t="s">
        <v>2</v>
      </c>
      <c r="D2" s="1" t="s">
        <v>3</v>
      </c>
      <c r="E2" s="1" t="s">
        <v>4</v>
      </c>
    </row>
    <row r="3">
      <c r="A3" s="1" t="s">
        <v>5</v>
      </c>
      <c r="B3" s="1">
        <v>5.0</v>
      </c>
      <c r="D3" s="1" t="s">
        <v>7</v>
      </c>
      <c r="E3" s="1" t="s">
        <v>8</v>
      </c>
    </row>
    <row r="4">
      <c r="A4" s="1" t="s">
        <v>9</v>
      </c>
      <c r="B4" s="1">
        <v>10.0</v>
      </c>
      <c r="D4" s="1" t="s">
        <v>10</v>
      </c>
      <c r="E4" s="1" t="s">
        <v>11</v>
      </c>
    </row>
    <row r="5">
      <c r="A5" s="1" t="s">
        <v>12</v>
      </c>
      <c r="B5" s="1">
        <v>10.0</v>
      </c>
      <c r="D5" s="1" t="s">
        <v>13</v>
      </c>
      <c r="E5" s="1" t="s">
        <v>14</v>
      </c>
    </row>
    <row r="6">
      <c r="A6" s="1" t="s">
        <v>15</v>
      </c>
      <c r="B6" s="6"/>
    </row>
    <row r="7">
      <c r="A7" s="1" t="s">
        <v>16</v>
      </c>
      <c r="B7" s="1">
        <v>5.0</v>
      </c>
    </row>
    <row r="8">
      <c r="A8" s="1" t="s">
        <v>17</v>
      </c>
      <c r="B8" s="1">
        <v>10.0</v>
      </c>
    </row>
    <row r="9">
      <c r="A9" s="1" t="s">
        <v>18</v>
      </c>
      <c r="B9" s="1">
        <v>20.0</v>
      </c>
    </row>
    <row r="10">
      <c r="A10" s="1" t="s">
        <v>20</v>
      </c>
      <c r="B10" s="1">
        <v>10.0</v>
      </c>
    </row>
    <row r="11">
      <c r="A11" s="1" t="s">
        <v>21</v>
      </c>
      <c r="B11" s="1">
        <v>15.0</v>
      </c>
    </row>
    <row r="13">
      <c r="A13" s="9" t="s">
        <v>22</v>
      </c>
    </row>
    <row r="14">
      <c r="A14" s="10" t="s">
        <v>23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0" t="s">
        <v>24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0" t="s">
        <v>26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0" t="s">
        <v>29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0" t="s">
        <v>31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0" t="s">
        <v>33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0" t="s">
        <v>40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0" t="s">
        <v>45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0" t="s">
        <v>49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0" t="s">
        <v>58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0" t="s">
        <v>61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0" t="s">
        <v>66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0" t="s">
        <v>69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0" t="s">
        <v>71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0" t="s">
        <v>78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0" t="s">
        <v>83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0" t="s">
        <v>85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0" t="s">
        <v>91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0" t="s">
        <v>97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0" t="s">
        <v>102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6.25"/>
  </cols>
  <sheetData>
    <row r="1">
      <c r="A1" s="2"/>
      <c r="B1" s="5" t="s">
        <v>6</v>
      </c>
      <c r="C1" s="4"/>
      <c r="D1" s="7"/>
      <c r="E1" s="2"/>
      <c r="F1" s="8"/>
      <c r="G1" s="15" t="s">
        <v>19</v>
      </c>
      <c r="H1" s="4"/>
      <c r="I1" s="7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12"/>
      <c r="C2" s="13"/>
      <c r="D2" s="14"/>
      <c r="E2" s="2"/>
      <c r="F2" s="8"/>
      <c r="G2" s="12"/>
      <c r="H2" s="13"/>
      <c r="I2" s="1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/>
      <c r="B3" s="17" t="s">
        <v>28</v>
      </c>
      <c r="C3" s="4"/>
      <c r="D3" s="7"/>
      <c r="E3" s="2"/>
      <c r="F3" s="18"/>
      <c r="G3" s="17" t="s">
        <v>30</v>
      </c>
      <c r="H3" s="4"/>
      <c r="I3" s="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/>
      <c r="B4" s="20"/>
      <c r="C4" s="21"/>
      <c r="D4" s="22"/>
      <c r="E4" s="2"/>
      <c r="F4" s="18"/>
      <c r="G4" s="20"/>
      <c r="H4" s="21"/>
      <c r="I4" s="2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2"/>
      <c r="B5" s="24" t="s">
        <v>34</v>
      </c>
      <c r="C5" s="24" t="s">
        <v>36</v>
      </c>
      <c r="D5" s="24" t="s">
        <v>37</v>
      </c>
      <c r="E5" s="26" t="s">
        <v>39</v>
      </c>
      <c r="F5" s="27"/>
      <c r="G5" s="28" t="s">
        <v>41</v>
      </c>
      <c r="H5" s="29" t="s">
        <v>42</v>
      </c>
      <c r="I5" s="31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2"/>
      <c r="B6" s="33" t="s">
        <v>53</v>
      </c>
      <c r="C6" s="36" t="s">
        <v>56</v>
      </c>
      <c r="D6" s="39">
        <v>0.0</v>
      </c>
      <c r="E6" s="26" t="s">
        <v>62</v>
      </c>
      <c r="F6" s="41"/>
      <c r="G6" s="43" t="s">
        <v>64</v>
      </c>
      <c r="H6" s="45" t="s">
        <v>65</v>
      </c>
      <c r="I6" s="46" t="s">
        <v>67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2"/>
      <c r="B7" s="48"/>
      <c r="C7" s="36" t="s">
        <v>70</v>
      </c>
      <c r="D7" s="39">
        <v>20.0</v>
      </c>
      <c r="E7" s="50"/>
      <c r="F7" s="41"/>
      <c r="G7" s="43" t="s">
        <v>73</v>
      </c>
      <c r="H7" s="45" t="s">
        <v>74</v>
      </c>
      <c r="I7" s="52" t="s">
        <v>75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"/>
      <c r="B8" s="48"/>
      <c r="C8" s="36" t="s">
        <v>77</v>
      </c>
      <c r="D8" s="39">
        <v>30.0</v>
      </c>
      <c r="E8" s="50"/>
      <c r="F8" s="55"/>
      <c r="G8" s="57" t="s">
        <v>80</v>
      </c>
      <c r="H8" s="59" t="s">
        <v>81</v>
      </c>
      <c r="I8" s="61" t="s">
        <v>82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2"/>
      <c r="B9" s="33" t="s">
        <v>84</v>
      </c>
      <c r="C9" s="48"/>
      <c r="D9" s="48"/>
      <c r="E9" s="5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2"/>
      <c r="B10" s="36" t="s">
        <v>86</v>
      </c>
      <c r="C10" s="36" t="s">
        <v>87</v>
      </c>
      <c r="D10" s="39">
        <v>10.0</v>
      </c>
      <c r="E10" s="26" t="s">
        <v>88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2"/>
      <c r="B11" s="36" t="s">
        <v>90</v>
      </c>
      <c r="C11" s="36" t="s">
        <v>92</v>
      </c>
      <c r="D11" s="39">
        <v>10.0</v>
      </c>
      <c r="E11" s="26" t="s">
        <v>88</v>
      </c>
      <c r="F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2"/>
      <c r="B12" s="33" t="s">
        <v>94</v>
      </c>
      <c r="C12" s="48"/>
      <c r="D12" s="48"/>
      <c r="E12" s="50"/>
      <c r="F12" s="65"/>
      <c r="G12" s="16" t="s">
        <v>95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2"/>
      <c r="B13" s="50"/>
      <c r="C13" s="36" t="s">
        <v>98</v>
      </c>
      <c r="D13" s="39">
        <v>30.0</v>
      </c>
      <c r="E13" s="50"/>
      <c r="F13" s="2"/>
      <c r="G13" s="65" t="s">
        <v>99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2"/>
      <c r="B14" s="48"/>
      <c r="C14" s="36" t="s">
        <v>101</v>
      </c>
      <c r="D14" s="39">
        <v>3.0</v>
      </c>
      <c r="E14" s="26">
        <v>3.0</v>
      </c>
      <c r="F14" s="2"/>
      <c r="G14" s="65" t="s">
        <v>103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/>
      <c r="B15" s="48"/>
      <c r="C15" s="36" t="s">
        <v>105</v>
      </c>
      <c r="D15" s="39">
        <v>0.0</v>
      </c>
      <c r="E15" s="5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33" t="s">
        <v>106</v>
      </c>
      <c r="C16" s="36" t="s">
        <v>108</v>
      </c>
      <c r="D16" s="39">
        <v>0.0</v>
      </c>
      <c r="E16" s="26">
        <v>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/>
      <c r="B17" s="48"/>
      <c r="C17" s="36" t="s">
        <v>110</v>
      </c>
      <c r="D17" s="39">
        <v>10.0</v>
      </c>
      <c r="E17" s="5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/>
      <c r="B18" s="48"/>
      <c r="C18" s="36" t="s">
        <v>112</v>
      </c>
      <c r="D18" s="39">
        <v>20.0</v>
      </c>
      <c r="E18" s="5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2"/>
      <c r="B19" s="33" t="s">
        <v>114</v>
      </c>
      <c r="C19" s="36" t="s">
        <v>115</v>
      </c>
      <c r="D19" s="39">
        <v>0.0</v>
      </c>
      <c r="E19" s="5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2"/>
      <c r="B20" s="48"/>
      <c r="C20" s="36" t="s">
        <v>117</v>
      </c>
      <c r="D20" s="39">
        <v>10.0</v>
      </c>
      <c r="E20" s="5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2"/>
      <c r="B21" s="48"/>
      <c r="C21" s="36" t="s">
        <v>122</v>
      </c>
      <c r="D21" s="39">
        <v>20.0</v>
      </c>
      <c r="E21" s="5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2"/>
      <c r="B22" s="33" t="s">
        <v>126</v>
      </c>
      <c r="C22" s="75" t="s">
        <v>128</v>
      </c>
      <c r="D22" s="76">
        <v>0.0</v>
      </c>
      <c r="E22" s="5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2"/>
      <c r="B23" s="48"/>
      <c r="C23" s="75" t="s">
        <v>136</v>
      </c>
      <c r="D23" s="76">
        <v>10.0</v>
      </c>
      <c r="E23" s="5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2"/>
      <c r="B24" s="48"/>
      <c r="C24" s="75" t="s">
        <v>14</v>
      </c>
      <c r="D24" s="76">
        <v>20.0</v>
      </c>
      <c r="E24" s="5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2"/>
      <c r="B25" s="33" t="s">
        <v>145</v>
      </c>
      <c r="C25" s="36" t="s">
        <v>146</v>
      </c>
      <c r="D25" s="39">
        <v>0.0</v>
      </c>
      <c r="E25" s="5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2"/>
      <c r="B26" s="48"/>
      <c r="C26" s="36" t="s">
        <v>147</v>
      </c>
      <c r="D26" s="39">
        <v>10.0</v>
      </c>
      <c r="E26" s="5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2"/>
      <c r="B27" s="48"/>
      <c r="C27" s="36" t="s">
        <v>148</v>
      </c>
      <c r="D27" s="39">
        <v>20.0</v>
      </c>
      <c r="E27" s="5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2"/>
      <c r="B28" s="84"/>
      <c r="C28" s="84"/>
      <c r="D28" s="8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2"/>
      <c r="B29" s="84"/>
      <c r="C29" s="84"/>
      <c r="D29" s="8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4">
    <mergeCell ref="B1:D2"/>
    <mergeCell ref="G1:I2"/>
    <mergeCell ref="B3:D4"/>
    <mergeCell ref="G3:I4"/>
  </mergeCells>
  <hyperlinks>
    <hyperlink r:id="rId1" ref="G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4"/>
      <c r="C1" s="4"/>
      <c r="D1" s="4"/>
      <c r="E1" s="7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2"/>
      <c r="B2" s="13"/>
      <c r="C2" s="13"/>
      <c r="D2" s="13"/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6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9" t="s">
        <v>27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3" t="s">
        <v>32</v>
      </c>
      <c r="K6" s="2"/>
      <c r="L6" s="25" t="s">
        <v>35</v>
      </c>
      <c r="N6" s="2"/>
      <c r="O6" s="2"/>
      <c r="P6" s="25" t="s">
        <v>38</v>
      </c>
      <c r="S6" s="2"/>
      <c r="T6" s="2"/>
      <c r="U6" s="2"/>
      <c r="V6" s="2"/>
      <c r="W6" s="2"/>
      <c r="X6" s="2"/>
      <c r="Y6" s="2"/>
      <c r="Z6" s="2"/>
      <c r="AA6" s="2"/>
    </row>
    <row r="7">
      <c r="K7" s="2"/>
      <c r="L7" s="21"/>
      <c r="M7" s="21"/>
      <c r="N7" s="2"/>
      <c r="O7" s="2"/>
      <c r="P7" s="21"/>
      <c r="Q7" s="21"/>
      <c r="R7" s="21"/>
      <c r="S7" s="2"/>
      <c r="T7" s="2"/>
      <c r="U7" s="2"/>
      <c r="V7" s="2"/>
      <c r="W7" s="2"/>
      <c r="X7" s="2"/>
      <c r="Y7" s="2"/>
      <c r="Z7" s="2"/>
      <c r="AA7" s="2"/>
    </row>
    <row r="8">
      <c r="A8" s="30" t="s">
        <v>43</v>
      </c>
      <c r="B8" s="32" t="s">
        <v>46</v>
      </c>
      <c r="C8" s="32" t="s">
        <v>47</v>
      </c>
      <c r="D8" s="32" t="s">
        <v>48</v>
      </c>
      <c r="E8" s="32" t="s">
        <v>50</v>
      </c>
      <c r="F8" s="32" t="s">
        <v>51</v>
      </c>
      <c r="G8" s="34" t="s">
        <v>52</v>
      </c>
      <c r="H8" s="32" t="s">
        <v>54</v>
      </c>
      <c r="I8" s="35" t="s">
        <v>55</v>
      </c>
      <c r="J8" s="26" t="s">
        <v>57</v>
      </c>
      <c r="K8" s="2"/>
      <c r="L8" s="37" t="s">
        <v>43</v>
      </c>
      <c r="M8" s="38" t="s">
        <v>59</v>
      </c>
      <c r="N8" s="2"/>
      <c r="O8" s="2"/>
      <c r="P8" s="40" t="s">
        <v>60</v>
      </c>
      <c r="Q8" s="42" t="s">
        <v>63</v>
      </c>
      <c r="R8" s="44" t="s">
        <v>43</v>
      </c>
      <c r="S8" s="2"/>
      <c r="T8" s="2"/>
      <c r="U8" s="2"/>
      <c r="V8" s="2"/>
      <c r="W8" s="2"/>
      <c r="X8" s="2"/>
      <c r="Y8" s="2"/>
      <c r="Z8" s="2"/>
      <c r="AA8" s="2"/>
    </row>
    <row r="9">
      <c r="A9" s="47" t="s">
        <v>68</v>
      </c>
      <c r="B9" s="49"/>
      <c r="C9" s="49"/>
      <c r="D9" s="49"/>
      <c r="E9" s="51" t="s">
        <v>72</v>
      </c>
      <c r="F9" s="49"/>
      <c r="G9" s="49"/>
      <c r="H9" s="49"/>
      <c r="I9" s="53"/>
      <c r="J9" s="50"/>
      <c r="K9" s="2"/>
      <c r="L9" s="54" t="s">
        <v>76</v>
      </c>
      <c r="M9" s="56" t="s">
        <v>79</v>
      </c>
      <c r="N9" s="2"/>
      <c r="O9" s="2"/>
      <c r="P9" s="58" t="s">
        <v>46</v>
      </c>
      <c r="Q9" s="60">
        <v>58.0</v>
      </c>
      <c r="R9" s="62">
        <f>A20</f>
        <v>8</v>
      </c>
      <c r="S9" s="2"/>
      <c r="T9" s="63" t="s">
        <v>89</v>
      </c>
      <c r="U9" s="2"/>
      <c r="V9" s="2"/>
      <c r="W9" s="2"/>
      <c r="X9" s="2"/>
      <c r="Y9" s="2"/>
      <c r="Z9" s="2"/>
      <c r="AA9" s="2"/>
    </row>
    <row r="10">
      <c r="A10" s="64" t="s">
        <v>93</v>
      </c>
      <c r="B10" s="66"/>
      <c r="C10" s="67" t="s">
        <v>96</v>
      </c>
      <c r="D10" s="66"/>
      <c r="E10" s="66"/>
      <c r="F10" s="66"/>
      <c r="G10" s="66"/>
      <c r="H10" s="66"/>
      <c r="I10" s="68"/>
      <c r="J10" s="50"/>
      <c r="K10" s="2"/>
      <c r="L10" s="64" t="s">
        <v>100</v>
      </c>
      <c r="M10" s="69">
        <v>1.0</v>
      </c>
      <c r="N10" s="2"/>
      <c r="O10" s="2"/>
      <c r="P10" s="58" t="s">
        <v>104</v>
      </c>
      <c r="Q10" s="60">
        <v>38.0</v>
      </c>
      <c r="R10" s="62">
        <f>A13</f>
        <v>1</v>
      </c>
      <c r="S10" s="2"/>
      <c r="T10" s="70" t="s">
        <v>107</v>
      </c>
      <c r="U10" s="2"/>
      <c r="V10" s="2"/>
      <c r="W10" s="2"/>
      <c r="X10" s="2"/>
      <c r="Y10" s="2"/>
      <c r="Z10" s="2"/>
      <c r="AA10" s="2"/>
    </row>
    <row r="11">
      <c r="A11" s="64" t="s">
        <v>100</v>
      </c>
      <c r="B11" s="66"/>
      <c r="C11" s="67" t="s">
        <v>109</v>
      </c>
      <c r="D11" s="66"/>
      <c r="E11" s="66"/>
      <c r="F11" s="67" t="s">
        <v>72</v>
      </c>
      <c r="G11" s="66"/>
      <c r="H11" s="66"/>
      <c r="I11" s="68"/>
      <c r="J11" s="50"/>
      <c r="K11" s="2"/>
      <c r="L11" s="64">
        <v>0.0</v>
      </c>
      <c r="M11" s="69">
        <v>1.2</v>
      </c>
      <c r="N11" s="2"/>
      <c r="O11" s="2"/>
      <c r="P11" s="58" t="s">
        <v>111</v>
      </c>
      <c r="Q11" s="60">
        <v>168.0</v>
      </c>
      <c r="R11" s="62">
        <f>A13</f>
        <v>1</v>
      </c>
      <c r="S11" s="2"/>
      <c r="T11" s="70" t="s">
        <v>113</v>
      </c>
      <c r="U11" s="71">
        <v>38.61004</v>
      </c>
      <c r="V11" s="72" t="s">
        <v>116</v>
      </c>
      <c r="W11" s="2"/>
      <c r="X11" s="2"/>
      <c r="Y11" s="2"/>
      <c r="Z11" s="2"/>
      <c r="AA11" s="2"/>
    </row>
    <row r="12">
      <c r="A12" s="64">
        <v>0.0</v>
      </c>
      <c r="B12" s="67" t="s">
        <v>118</v>
      </c>
      <c r="C12" s="67" t="s">
        <v>119</v>
      </c>
      <c r="D12" s="67" t="s">
        <v>120</v>
      </c>
      <c r="E12" s="67" t="s">
        <v>121</v>
      </c>
      <c r="F12" s="66"/>
      <c r="G12" s="73" t="s">
        <v>64</v>
      </c>
      <c r="H12" s="67" t="s">
        <v>123</v>
      </c>
      <c r="I12" s="74" t="s">
        <v>124</v>
      </c>
      <c r="J12" s="26" t="s">
        <v>125</v>
      </c>
      <c r="K12" s="2"/>
      <c r="L12" s="64">
        <v>1.0</v>
      </c>
      <c r="M12" s="69">
        <v>1.5</v>
      </c>
      <c r="N12" s="2"/>
      <c r="O12" s="2"/>
      <c r="P12" s="58" t="s">
        <v>127</v>
      </c>
      <c r="Q12" s="60">
        <v>124.0</v>
      </c>
      <c r="R12" s="62">
        <v>0.0</v>
      </c>
      <c r="S12" s="2"/>
      <c r="T12" s="2"/>
      <c r="U12" s="2"/>
      <c r="V12" s="2"/>
      <c r="W12" s="2"/>
      <c r="X12" s="2"/>
      <c r="Y12" s="2"/>
      <c r="Z12" s="2"/>
      <c r="AA12" s="2"/>
    </row>
    <row r="13">
      <c r="A13" s="64">
        <v>1.0</v>
      </c>
      <c r="B13" s="66"/>
      <c r="C13" s="67" t="s">
        <v>129</v>
      </c>
      <c r="D13" s="67" t="s">
        <v>130</v>
      </c>
      <c r="E13" s="67" t="s">
        <v>131</v>
      </c>
      <c r="F13" s="66"/>
      <c r="G13" s="77" t="s">
        <v>132</v>
      </c>
      <c r="H13" s="66"/>
      <c r="I13" s="78" t="s">
        <v>133</v>
      </c>
      <c r="J13" s="26" t="s">
        <v>134</v>
      </c>
      <c r="K13" s="2"/>
      <c r="L13" s="64">
        <v>2.0</v>
      </c>
      <c r="M13" s="69">
        <v>1.7</v>
      </c>
      <c r="N13" s="2"/>
      <c r="O13" s="2"/>
      <c r="P13" s="58" t="s">
        <v>135</v>
      </c>
      <c r="Q13" s="79" t="s">
        <v>137</v>
      </c>
      <c r="R13" s="80"/>
      <c r="S13" s="2"/>
      <c r="T13" s="2"/>
      <c r="U13" s="2"/>
      <c r="V13" s="2"/>
      <c r="W13" s="2"/>
      <c r="X13" s="2"/>
      <c r="Y13" s="2"/>
      <c r="Z13" s="2"/>
      <c r="AA13" s="2"/>
    </row>
    <row r="14">
      <c r="A14" s="64">
        <v>2.0</v>
      </c>
      <c r="B14" s="67" t="s">
        <v>138</v>
      </c>
      <c r="C14" s="67" t="s">
        <v>139</v>
      </c>
      <c r="D14" s="66"/>
      <c r="E14" s="67" t="s">
        <v>140</v>
      </c>
      <c r="F14" s="67" t="s">
        <v>121</v>
      </c>
      <c r="G14" s="77" t="s">
        <v>141</v>
      </c>
      <c r="H14" s="66"/>
      <c r="I14" s="68"/>
      <c r="J14" s="26" t="s">
        <v>142</v>
      </c>
      <c r="K14" s="2"/>
      <c r="L14" s="64">
        <v>3.0</v>
      </c>
      <c r="M14" s="69">
        <v>2.0</v>
      </c>
      <c r="N14" s="2"/>
      <c r="O14" s="2"/>
      <c r="P14" s="58" t="s">
        <v>54</v>
      </c>
      <c r="Q14" s="60" t="s">
        <v>143</v>
      </c>
      <c r="R14" s="62">
        <v>3.0</v>
      </c>
      <c r="S14" s="2"/>
      <c r="T14" s="2"/>
      <c r="U14" s="2"/>
      <c r="V14" s="2"/>
      <c r="W14" s="2"/>
      <c r="X14" s="2"/>
      <c r="Y14" s="2"/>
      <c r="Z14" s="2"/>
      <c r="AA14" s="2"/>
    </row>
    <row r="15">
      <c r="A15" s="64">
        <v>3.0</v>
      </c>
      <c r="B15" s="66"/>
      <c r="C15" s="66"/>
      <c r="D15" s="67" t="s">
        <v>144</v>
      </c>
      <c r="E15" s="66"/>
      <c r="F15" s="67" t="s">
        <v>131</v>
      </c>
      <c r="G15" s="67"/>
      <c r="H15" s="67" t="s">
        <v>143</v>
      </c>
      <c r="I15" s="68"/>
      <c r="J15" s="26"/>
      <c r="K15" s="2"/>
      <c r="L15" s="64">
        <v>4.0</v>
      </c>
      <c r="M15" s="69">
        <v>2.4</v>
      </c>
      <c r="N15" s="2"/>
      <c r="O15" s="2"/>
      <c r="P15" s="81" t="s">
        <v>55</v>
      </c>
      <c r="Q15" s="82" t="s">
        <v>123</v>
      </c>
      <c r="R15" s="83">
        <v>0.0</v>
      </c>
      <c r="S15" s="2"/>
      <c r="T15" s="2"/>
      <c r="V15" s="2"/>
      <c r="W15" s="2"/>
      <c r="X15" s="2"/>
      <c r="Y15" s="2"/>
      <c r="Z15" s="2"/>
      <c r="AA15" s="2"/>
    </row>
    <row r="16">
      <c r="A16" s="64">
        <v>4.0</v>
      </c>
      <c r="B16" s="67" t="s">
        <v>149</v>
      </c>
      <c r="C16" s="66"/>
      <c r="D16" s="67" t="s">
        <v>150</v>
      </c>
      <c r="E16" s="67" t="s">
        <v>151</v>
      </c>
      <c r="F16" s="66"/>
      <c r="G16" s="66"/>
      <c r="H16" s="66"/>
      <c r="I16" s="74" t="s">
        <v>152</v>
      </c>
      <c r="J16" s="26" t="s">
        <v>153</v>
      </c>
      <c r="K16" s="2"/>
      <c r="L16" s="64">
        <v>5.0</v>
      </c>
      <c r="M16" s="69">
        <v>2.8</v>
      </c>
      <c r="N16" s="2"/>
      <c r="O16" s="2"/>
      <c r="P16" s="2"/>
      <c r="Q16" s="85" t="s">
        <v>154</v>
      </c>
      <c r="R16" s="86">
        <f>SUM(R9:R15)</f>
        <v>13</v>
      </c>
      <c r="S16" s="2"/>
      <c r="T16" s="2"/>
      <c r="U16" s="2"/>
      <c r="V16" s="2"/>
      <c r="W16" s="2"/>
      <c r="X16" s="2"/>
      <c r="Y16" s="2"/>
      <c r="Z16" s="2"/>
      <c r="AA16" s="2"/>
    </row>
    <row r="17">
      <c r="A17" s="64">
        <v>5.0</v>
      </c>
      <c r="B17" s="67" t="s">
        <v>119</v>
      </c>
      <c r="C17" s="66"/>
      <c r="D17" s="67" t="s">
        <v>155</v>
      </c>
      <c r="E17" s="67" t="s">
        <v>156</v>
      </c>
      <c r="F17" s="67" t="s">
        <v>140</v>
      </c>
      <c r="G17" s="66"/>
      <c r="H17" s="66"/>
      <c r="I17" s="68"/>
      <c r="J17" s="50"/>
      <c r="K17" s="2"/>
      <c r="L17" s="64">
        <v>6.0</v>
      </c>
      <c r="M17" s="69">
        <v>3.3</v>
      </c>
      <c r="N17" s="2"/>
      <c r="O17" s="2"/>
      <c r="P17" s="2"/>
      <c r="Q17" s="87" t="s">
        <v>157</v>
      </c>
      <c r="R17" s="88">
        <v>0.1</v>
      </c>
      <c r="S17" s="2"/>
      <c r="T17" s="2"/>
      <c r="U17" s="2"/>
      <c r="V17" s="2"/>
      <c r="W17" s="2"/>
      <c r="X17" s="2"/>
      <c r="Y17" s="2"/>
      <c r="Z17" s="2"/>
      <c r="AA17" s="2"/>
    </row>
    <row r="18">
      <c r="A18" s="64">
        <v>6.0</v>
      </c>
      <c r="B18" s="66"/>
      <c r="C18" s="66"/>
      <c r="D18" s="66"/>
      <c r="E18" s="66"/>
      <c r="F18" s="67" t="s">
        <v>151</v>
      </c>
      <c r="G18" s="66"/>
      <c r="H18" s="66"/>
      <c r="I18" s="68"/>
      <c r="J18" s="50"/>
      <c r="K18" s="2"/>
      <c r="L18" s="64">
        <v>7.0</v>
      </c>
      <c r="M18" s="69">
        <v>3.9</v>
      </c>
      <c r="N18" s="2"/>
      <c r="O18" s="2"/>
      <c r="P18" s="2"/>
      <c r="Q18" s="2"/>
      <c r="R18" s="2"/>
      <c r="S18" s="2"/>
      <c r="U18" s="2"/>
      <c r="V18" s="2"/>
      <c r="W18" s="2"/>
      <c r="X18" s="2"/>
      <c r="Y18" s="2"/>
      <c r="Z18" s="2"/>
      <c r="AA18" s="2"/>
    </row>
    <row r="19">
      <c r="A19" s="64">
        <v>7.0</v>
      </c>
      <c r="B19" s="67" t="s">
        <v>158</v>
      </c>
      <c r="C19" s="66"/>
      <c r="D19" s="66"/>
      <c r="E19" s="66"/>
      <c r="F19" s="67" t="s">
        <v>156</v>
      </c>
      <c r="G19" s="66"/>
      <c r="H19" s="66"/>
      <c r="I19" s="68"/>
      <c r="J19" s="50"/>
      <c r="K19" s="2"/>
      <c r="L19" s="64">
        <v>8.0</v>
      </c>
      <c r="M19" s="69">
        <v>4.5</v>
      </c>
      <c r="N19" s="2"/>
      <c r="O19" s="2"/>
      <c r="P19" s="2"/>
      <c r="Q19" s="89"/>
      <c r="R19" s="90" t="s">
        <v>159</v>
      </c>
      <c r="S19" s="65" t="s">
        <v>160</v>
      </c>
      <c r="T19" s="2"/>
      <c r="U19" s="2"/>
      <c r="V19" s="2"/>
      <c r="W19" s="2"/>
      <c r="X19" s="2"/>
      <c r="Y19" s="2"/>
      <c r="Z19" s="2"/>
      <c r="AA19" s="2"/>
    </row>
    <row r="20">
      <c r="A20" s="64">
        <v>8.0</v>
      </c>
      <c r="B20" s="67" t="s">
        <v>161</v>
      </c>
      <c r="C20" s="66"/>
      <c r="D20" s="66"/>
      <c r="E20" s="66"/>
      <c r="F20" s="66"/>
      <c r="G20" s="66"/>
      <c r="H20" s="66"/>
      <c r="I20" s="68"/>
      <c r="J20" s="50"/>
      <c r="K20" s="2"/>
      <c r="L20" s="64">
        <v>9.0</v>
      </c>
      <c r="M20" s="69">
        <v>5.3</v>
      </c>
      <c r="N20" s="2"/>
      <c r="O20" s="2"/>
      <c r="P20" s="2"/>
      <c r="Q20" s="91" t="s">
        <v>162</v>
      </c>
      <c r="R20" s="80" t="s">
        <v>163</v>
      </c>
      <c r="S20" s="9" t="s">
        <v>164</v>
      </c>
      <c r="T20" s="2"/>
      <c r="U20" s="2"/>
      <c r="V20" s="2"/>
      <c r="W20" s="2"/>
      <c r="X20" s="2"/>
      <c r="Y20" s="2"/>
      <c r="Z20" s="2"/>
      <c r="AA20" s="2"/>
    </row>
    <row r="21">
      <c r="A21" s="64">
        <v>9.0</v>
      </c>
      <c r="B21" s="67" t="s">
        <v>165</v>
      </c>
      <c r="C21" s="66"/>
      <c r="D21" s="66"/>
      <c r="E21" s="66"/>
      <c r="F21" s="66"/>
      <c r="G21" s="66"/>
      <c r="H21" s="66"/>
      <c r="I21" s="68"/>
      <c r="J21" s="50"/>
      <c r="K21" s="2"/>
      <c r="L21" s="64">
        <v>10.0</v>
      </c>
      <c r="M21" s="69">
        <v>6.3</v>
      </c>
      <c r="N21" s="2"/>
      <c r="O21" s="2"/>
      <c r="P21" s="2"/>
      <c r="Q21" s="92" t="s">
        <v>166</v>
      </c>
      <c r="R21" s="93" t="s">
        <v>167</v>
      </c>
      <c r="S21" s="9" t="s">
        <v>168</v>
      </c>
      <c r="T21" s="2"/>
      <c r="U21" s="2"/>
      <c r="V21" s="2"/>
      <c r="W21" s="2"/>
      <c r="X21" s="2"/>
      <c r="Y21" s="2"/>
      <c r="Z21" s="2"/>
      <c r="AA21" s="2"/>
    </row>
    <row r="22">
      <c r="A22" s="64">
        <v>10.0</v>
      </c>
      <c r="B22" s="67" t="s">
        <v>169</v>
      </c>
      <c r="C22" s="66"/>
      <c r="D22" s="66"/>
      <c r="E22" s="66"/>
      <c r="F22" s="66"/>
      <c r="G22" s="66"/>
      <c r="H22" s="66"/>
      <c r="I22" s="68"/>
      <c r="J22" s="50"/>
      <c r="K22" s="2"/>
      <c r="L22" s="64">
        <v>11.0</v>
      </c>
      <c r="M22" s="69">
        <v>7.3</v>
      </c>
      <c r="N22" s="2"/>
      <c r="O22" s="2"/>
      <c r="P22" s="2"/>
      <c r="Q22" s="81" t="s">
        <v>65</v>
      </c>
      <c r="R22" s="94" t="s">
        <v>170</v>
      </c>
      <c r="S22" s="9" t="s">
        <v>171</v>
      </c>
      <c r="T22" s="2"/>
      <c r="U22" s="2"/>
      <c r="V22" s="2"/>
      <c r="W22" s="2"/>
      <c r="X22" s="2"/>
      <c r="Y22" s="2"/>
      <c r="Z22" s="2"/>
      <c r="AA22" s="2"/>
    </row>
    <row r="23">
      <c r="A23" s="64">
        <v>11.0</v>
      </c>
      <c r="B23" s="67" t="s">
        <v>172</v>
      </c>
      <c r="C23" s="66"/>
      <c r="D23" s="66"/>
      <c r="E23" s="66"/>
      <c r="F23" s="66"/>
      <c r="G23" s="66"/>
      <c r="H23" s="66"/>
      <c r="I23" s="68"/>
      <c r="J23" s="50"/>
      <c r="K23" s="2"/>
      <c r="L23" s="64">
        <v>12.0</v>
      </c>
      <c r="M23" s="69">
        <v>8.6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5">
        <v>12.0</v>
      </c>
      <c r="B24" s="96" t="s">
        <v>173</v>
      </c>
      <c r="C24" s="97"/>
      <c r="D24" s="97"/>
      <c r="E24" s="97"/>
      <c r="F24" s="97"/>
      <c r="G24" s="97"/>
      <c r="H24" s="97"/>
      <c r="I24" s="98"/>
      <c r="J24" s="99"/>
      <c r="K24" s="2"/>
      <c r="L24" s="100">
        <v>13.0</v>
      </c>
      <c r="M24" s="101">
        <v>10.0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64">
        <v>14.0</v>
      </c>
      <c r="M25" s="69">
        <v>11.7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" t="s">
        <v>174</v>
      </c>
      <c r="D26" s="2"/>
      <c r="E26" s="2"/>
      <c r="F26" s="2"/>
      <c r="G26" s="2"/>
      <c r="H26" s="2"/>
      <c r="I26" s="2"/>
      <c r="J26" s="2"/>
      <c r="K26" s="2"/>
      <c r="L26" s="64">
        <v>15.0</v>
      </c>
      <c r="M26" s="69">
        <v>13.7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" t="s">
        <v>175</v>
      </c>
      <c r="D27" s="2"/>
      <c r="E27" s="2"/>
      <c r="F27" s="2"/>
      <c r="G27" s="2"/>
      <c r="H27" s="2"/>
      <c r="I27" s="2"/>
      <c r="J27" s="2"/>
      <c r="K27" s="2"/>
      <c r="L27" s="64">
        <v>16.0</v>
      </c>
      <c r="M27" s="69">
        <v>15.9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" t="s">
        <v>176</v>
      </c>
      <c r="D28" s="2"/>
      <c r="E28" s="2"/>
      <c r="F28" s="2"/>
      <c r="G28" s="2"/>
      <c r="H28" s="2"/>
      <c r="I28" s="2"/>
      <c r="J28" s="2"/>
      <c r="K28" s="2"/>
      <c r="L28" s="64">
        <v>17.0</v>
      </c>
      <c r="M28" s="69">
        <v>18.5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" t="s">
        <v>177</v>
      </c>
      <c r="D29" s="2"/>
      <c r="E29" s="2"/>
      <c r="F29" s="2"/>
      <c r="G29" s="2"/>
      <c r="H29" s="2"/>
      <c r="I29" s="2"/>
      <c r="J29" s="2"/>
      <c r="K29" s="2"/>
      <c r="L29" s="64">
        <v>18.0</v>
      </c>
      <c r="M29" s="69">
        <v>21.5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D30" s="2"/>
      <c r="E30" s="2"/>
      <c r="F30" s="2"/>
      <c r="G30" s="2"/>
      <c r="H30" s="2"/>
      <c r="I30" s="2"/>
      <c r="J30" s="2"/>
      <c r="K30" s="2"/>
      <c r="L30" s="64">
        <v>19.0</v>
      </c>
      <c r="M30" s="69">
        <v>24.8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 t="s">
        <v>178</v>
      </c>
      <c r="D31" s="2"/>
      <c r="E31" s="2"/>
      <c r="F31" s="2"/>
      <c r="G31" s="2"/>
      <c r="H31" s="2"/>
      <c r="I31" s="2"/>
      <c r="J31" s="2"/>
      <c r="K31" s="2"/>
      <c r="L31" s="64">
        <v>20.0</v>
      </c>
      <c r="M31" s="69">
        <v>28.5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 t="s">
        <v>179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95" t="s">
        <v>180</v>
      </c>
      <c r="M32" s="102" t="s">
        <v>181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3" t="s">
        <v>182</v>
      </c>
      <c r="B34" s="103" t="s">
        <v>183</v>
      </c>
      <c r="C34" s="103" t="s">
        <v>184</v>
      </c>
      <c r="D34" s="103" t="s">
        <v>185</v>
      </c>
      <c r="E34" s="103" t="s">
        <v>186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4" t="s">
        <v>187</v>
      </c>
      <c r="B35" s="103" t="s">
        <v>188</v>
      </c>
      <c r="C35" s="105">
        <v>0.0</v>
      </c>
      <c r="D35" s="103" t="s">
        <v>189</v>
      </c>
      <c r="E35" s="103" t="s">
        <v>190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4" t="s">
        <v>191</v>
      </c>
      <c r="B36" s="103" t="s">
        <v>192</v>
      </c>
      <c r="C36" s="104" t="s">
        <v>193</v>
      </c>
      <c r="D36" s="103" t="s">
        <v>194</v>
      </c>
      <c r="E36" s="103" t="s">
        <v>195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4" t="s">
        <v>196</v>
      </c>
      <c r="B37" s="103" t="s">
        <v>197</v>
      </c>
      <c r="C37" s="105">
        <v>0.25</v>
      </c>
      <c r="D37" s="103" t="s">
        <v>197</v>
      </c>
      <c r="E37" s="103" t="s">
        <v>198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4" t="s">
        <v>199</v>
      </c>
      <c r="B38" s="103" t="s">
        <v>200</v>
      </c>
      <c r="C38" s="105">
        <v>0.4</v>
      </c>
      <c r="D38" s="103" t="s">
        <v>201</v>
      </c>
      <c r="E38" s="103" t="s">
        <v>202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6" t="s">
        <v>48</v>
      </c>
      <c r="B39" s="2"/>
      <c r="C39" s="107"/>
      <c r="D39" s="65"/>
      <c r="E39" s="10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9">
        <v>240.0</v>
      </c>
      <c r="B40" s="2"/>
      <c r="C40" s="107">
        <v>0.3</v>
      </c>
      <c r="D40" s="65" t="s">
        <v>197</v>
      </c>
      <c r="E40" s="103" t="s">
        <v>202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8" t="s">
        <v>203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65" t="s">
        <v>204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65" t="s">
        <v>205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09"/>
      <c r="B62" s="110"/>
      <c r="C62" s="11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11" t="s">
        <v>206</v>
      </c>
      <c r="B63" s="111" t="s">
        <v>207</v>
      </c>
      <c r="C63" s="111" t="s">
        <v>208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12" t="s">
        <v>209</v>
      </c>
      <c r="B64" s="113" t="s">
        <v>210</v>
      </c>
      <c r="C64" s="112" t="s">
        <v>211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12" t="s">
        <v>212</v>
      </c>
      <c r="B65" s="112" t="s">
        <v>213</v>
      </c>
      <c r="C65" s="112" t="s">
        <v>214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12" t="s">
        <v>215</v>
      </c>
      <c r="B66" s="113" t="s">
        <v>216</v>
      </c>
      <c r="C66" s="112" t="s">
        <v>217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5">
    <mergeCell ref="A1:E2"/>
    <mergeCell ref="A4:F5"/>
    <mergeCell ref="A6:J7"/>
    <mergeCell ref="L6:M7"/>
    <mergeCell ref="P6:R7"/>
  </mergeCells>
  <hyperlinks>
    <hyperlink r:id="rId1" ref="A4"/>
  </hyperlinks>
  <drawing r:id="rId2"/>
</worksheet>
</file>